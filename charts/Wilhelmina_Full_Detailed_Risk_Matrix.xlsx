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/code/charts/"/>
    </mc:Choice>
  </mc:AlternateContent>
  <xr:revisionPtr revIDLastSave="0" documentId="13_ncr:1_{5A601EEC-145C-9A43-ACB3-9CD72824F7A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</calcChain>
</file>

<file path=xl/sharedStrings.xml><?xml version="1.0" encoding="utf-8"?>
<sst xmlns="http://schemas.openxmlformats.org/spreadsheetml/2006/main" count="239" uniqueCount="144">
  <si>
    <t>Risk ID</t>
  </si>
  <si>
    <t>Risk Category</t>
  </si>
  <si>
    <t>Hazard Description</t>
  </si>
  <si>
    <t>Consequence</t>
  </si>
  <si>
    <t>Likelihood</t>
  </si>
  <si>
    <t>Risk Rating</t>
  </si>
  <si>
    <t>Control Measures</t>
  </si>
  <si>
    <t>Responsible Party</t>
  </si>
  <si>
    <t>Consequence Score</t>
  </si>
  <si>
    <t>Likelihood Score</t>
  </si>
  <si>
    <t>Risk Score</t>
  </si>
  <si>
    <t>Risk Level</t>
  </si>
  <si>
    <t>Estimated Financial Impact (USD)</t>
  </si>
  <si>
    <t>Base Cost (USD)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</si>
  <si>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</si>
  <si>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</si>
  <si>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</si>
  <si>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</si>
  <si>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</si>
  <si>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</si>
  <si>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</si>
  <si>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</si>
  <si>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</si>
  <si>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</si>
  <si>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</si>
  <si>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</si>
  <si>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</si>
  <si>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</si>
  <si>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</si>
  <si>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</si>
  <si>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</si>
  <si>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</si>
  <si>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</si>
  <si>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</si>
  <si>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</si>
  <si>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</si>
  <si>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</si>
  <si>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</si>
  <si>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</si>
  <si>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Feedstock</t>
  </si>
  <si>
    <t>Road Conditions</t>
  </si>
  <si>
    <t>Seasonality</t>
  </si>
  <si>
    <t>Shipping</t>
  </si>
  <si>
    <t>Safety</t>
  </si>
  <si>
    <t>Fuel Costs</t>
  </si>
  <si>
    <t>Energy Costs</t>
  </si>
  <si>
    <t>Trucking Costs</t>
  </si>
  <si>
    <t>Operational</t>
  </si>
  <si>
    <t>Supply Chain</t>
  </si>
  <si>
    <t>Environmental</t>
  </si>
  <si>
    <t>Health &amp; Safety</t>
  </si>
  <si>
    <t>Compliance</t>
  </si>
  <si>
    <t>Financial</t>
  </si>
  <si>
    <t>Social &amp; Community</t>
  </si>
  <si>
    <t>Reputational</t>
  </si>
  <si>
    <t>Technical</t>
  </si>
  <si>
    <t>Equipment Failure</t>
  </si>
  <si>
    <t>Data Security</t>
  </si>
  <si>
    <t>Legal</t>
  </si>
  <si>
    <t>Logistics</t>
  </si>
  <si>
    <t>Market</t>
  </si>
  <si>
    <t>Road damage during monsoon</t>
  </si>
  <si>
    <t>Seasonal feedstock variability</t>
  </si>
  <si>
    <t>Shipping delays due to port congestion</t>
  </si>
  <si>
    <t>Workplace accidents</t>
  </si>
  <si>
    <t>Fluctuations in oil prices</t>
  </si>
  <si>
    <t>Rising electricity tariffs</t>
  </si>
  <si>
    <t>Increase in trucking rates</t>
  </si>
  <si>
    <t>Process disruptions due to maintenance</t>
  </si>
  <si>
    <t>Supplier failure to deliver on time</t>
  </si>
  <si>
    <t>Dust emissions from pellet processing</t>
  </si>
  <si>
    <t>Fire in biomass storage</t>
  </si>
  <si>
    <t>Non-compliance with RSPO standards</t>
  </si>
  <si>
    <t>Exchange rate fluctuations</t>
  </si>
  <si>
    <t>Community protests</t>
  </si>
  <si>
    <t>Negative media coverage</t>
  </si>
  <si>
    <t>Software malfunction in WAMS</t>
  </si>
  <si>
    <t>Failure of key machinery</t>
  </si>
  <si>
    <t>Cyberattack on data systems</t>
  </si>
  <si>
    <t>Breach of environmental regulations</t>
  </si>
  <si>
    <t>Drop in pellet price per MT</t>
  </si>
  <si>
    <t>Increase in EFB feedstock cost</t>
  </si>
  <si>
    <t>Labor strike affecting production</t>
  </si>
  <si>
    <t>Transport disruption due to road conditions</t>
  </si>
  <si>
    <t>Decrease in pellet demand from key buyers</t>
  </si>
  <si>
    <t>Major</t>
  </si>
  <si>
    <t>Significant</t>
  </si>
  <si>
    <t>Moderate</t>
  </si>
  <si>
    <t>Catastrophic</t>
  </si>
  <si>
    <t>Possible</t>
  </si>
  <si>
    <t>Likely</t>
  </si>
  <si>
    <t>Unlikely</t>
  </si>
  <si>
    <t>Rare</t>
  </si>
  <si>
    <t>High</t>
  </si>
  <si>
    <t>Critical</t>
  </si>
  <si>
    <t>Medium</t>
  </si>
  <si>
    <t>Diversified sourcing, inventory management</t>
  </si>
  <si>
    <t>Road maintenance partnerships</t>
  </si>
  <si>
    <t>Adaptive storage and inventory</t>
  </si>
  <si>
    <t>Logistics planning and buffer time</t>
  </si>
  <si>
    <t>Safety training, PPE use</t>
  </si>
  <si>
    <t>Long-term oil contracts</t>
  </si>
  <si>
    <t>Energy efficiency programs</t>
  </si>
  <si>
    <t>Negotiated transport contracts</t>
  </si>
  <si>
    <t>Preventive maintenance</t>
  </si>
  <si>
    <t>Supplier diversification</t>
  </si>
  <si>
    <t>Air filtration systems</t>
  </si>
  <si>
    <t>Fire suppression systems</t>
  </si>
  <si>
    <t>Certification tracking</t>
  </si>
  <si>
    <t>Currency hedging</t>
  </si>
  <si>
    <t>Community engagement programs</t>
  </si>
  <si>
    <t>Proactive communication strategy</t>
  </si>
  <si>
    <t>System maintenance and updates</t>
  </si>
  <si>
    <t>Regular machine servicing</t>
  </si>
  <si>
    <t>Cybersecurity protocols</t>
  </si>
  <si>
    <t>Legal compliance monitoring</t>
  </si>
  <si>
    <t>Long-term contracts, price hedging</t>
  </si>
  <si>
    <t>Diversifying feedstock sources</t>
  </si>
  <si>
    <t>Labor agreements, flexible staffing</t>
  </si>
  <si>
    <t>Alternative transport routes, backup carriers</t>
  </si>
  <si>
    <t>Diversification of customer base, export readiness</t>
  </si>
  <si>
    <t>Supply Chain Manager</t>
  </si>
  <si>
    <t>Logistics Manager</t>
  </si>
  <si>
    <t>Operations Manager</t>
  </si>
  <si>
    <t>Shipping Coordinator</t>
  </si>
  <si>
    <t>HSE Officer</t>
  </si>
  <si>
    <t>Finance Manager</t>
  </si>
  <si>
    <t>Maintenance Supervisor</t>
  </si>
  <si>
    <t>Supply Chain Coordinator</t>
  </si>
  <si>
    <t>Environmental Officer</t>
  </si>
  <si>
    <t>Safety Supervisor</t>
  </si>
  <si>
    <t>Compliance Officer</t>
  </si>
  <si>
    <t>Financial Analyst</t>
  </si>
  <si>
    <t>Community Relations Officer</t>
  </si>
  <si>
    <t>Communications Manager</t>
  </si>
  <si>
    <t>IT Systems Manager</t>
  </si>
  <si>
    <t>Plant Engineer</t>
  </si>
  <si>
    <t>IT Security Officer</t>
  </si>
  <si>
    <t>Legal Advisor</t>
  </si>
  <si>
    <t>Financial Manager</t>
  </si>
  <si>
    <t>HR Manager</t>
  </si>
  <si>
    <t>Logistics Coordinator</t>
  </si>
  <si>
    <t>Sales Manager</t>
  </si>
  <si>
    <t>Shortage of EFB feedstock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</si>
</sst>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41" fontId="3" fillId="0" borderId="0" xfId="1" applyFont="1"/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/>
    <xf numFmtId="0" fontId="3" fillId="0" borderId="0" xfId="0" applyFont="1" applyBorder="1"/>
    <xf numFmtId="41" fontId="3" fillId="0" borderId="0" xfId="0" applyNumberFormat="1" applyFont="1" applyBorder="1"/>
    <xf numFmtId="41" fontId="3" fillId="0" borderId="3" xfId="1" applyFont="1" applyBorder="1"/>
    <xf numFmtId="0" fontId="3" fillId="0" borderId="4" xfId="0" applyFont="1" applyBorder="1"/>
    <xf numFmtId="0" fontId="3" fillId="0" borderId="5" xfId="0" applyFont="1" applyBorder="1"/>
    <xf numFmtId="41" fontId="3" fillId="0" borderId="5" xfId="0" applyNumberFormat="1" applyFont="1" applyBorder="1"/>
    <xf numFmtId="41" fontId="3" fillId="0" borderId="6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7"/>
  <sheetViews>
    <sheetView showGridLines="0" tabSelected="1" workbookViewId="0">
      <selection activeCell="H49" sqref="H49"/>
    </sheetView>
  </sheetViews>
  <sheetFormatPr baseColWidth="10" defaultColWidth="8.83203125" defaultRowHeight="14" x14ac:dyDescent="0.15"/>
  <cols>
    <col min="1" max="1" width="8.83203125" style="1"/>
    <col min="2" max="2" width="10.1640625" style="1" customWidth="1"/>
    <col min="3" max="3" width="17" style="1" customWidth="1"/>
    <col min="4" max="4" width="39.6640625" style="1" customWidth="1"/>
    <col min="5" max="7" width="16.1640625" style="1" customWidth="1"/>
    <col min="8" max="8" width="45.33203125" style="1" customWidth="1"/>
    <col min="9" max="9" width="23.1640625" style="1" bestFit="1" customWidth="1"/>
    <col min="10" max="10" width="9" style="1" customWidth="1"/>
    <col min="11" max="11" width="11.33203125" style="1" customWidth="1"/>
    <col min="12" max="12" width="12.1640625" style="1" customWidth="1"/>
    <col min="13" max="13" width="11.83203125" style="1" customWidth="1"/>
    <col min="14" max="14" width="14.6640625" style="1" customWidth="1"/>
    <col min="15" max="15" width="17" style="2" customWidth="1"/>
    <col min="16" max="16" width="17" style="1" customWidth="1"/>
    <col min="17" max="16384" width="8.83203125" style="1"/>
  </cols>
  <sheetData>
    <row r="2" spans="2:15" s="5" customFormat="1" ht="45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" t="s">
        <v>13</v>
      </c>
    </row>
    <row r="3" spans="2:15" x14ac:dyDescent="0.15">
      <c r="B3" s="6" t="s">
        <v>14</v>
      </c>
      <c r="C3" s="7" t="s">
        <v>39</v>
      </c>
      <c r="D3" s="7" t="s">
        <v>143</v>
      </c>
      <c r="E3" s="7" t="s">
        <v>85</v>
      </c>
      <c r="F3" s="7" t="s">
        <v>89</v>
      </c>
      <c r="G3" s="7" t="s">
        <v>93</v>
      </c>
      <c r="H3" s="7" t="s">
        <v>96</v>
      </c>
      <c r="I3" s="7" t="s">
        <v>121</v>
      </c>
      <c r="J3" s="7">
        <v>5</v>
      </c>
      <c r="K3" s="7">
        <v>3</v>
      </c>
      <c r="L3" s="7">
        <v>15</v>
      </c>
      <c r="M3" s="7" t="s">
        <v>93</v>
      </c>
      <c r="N3" s="8">
        <f>(L3/25)*O3</f>
        <v>30000</v>
      </c>
      <c r="O3" s="9">
        <v>50000</v>
      </c>
    </row>
    <row r="4" spans="2:15" x14ac:dyDescent="0.15">
      <c r="B4" s="6" t="s">
        <v>15</v>
      </c>
      <c r="C4" s="7" t="s">
        <v>40</v>
      </c>
      <c r="D4" s="7" t="s">
        <v>61</v>
      </c>
      <c r="E4" s="7" t="s">
        <v>86</v>
      </c>
      <c r="F4" s="7" t="s">
        <v>90</v>
      </c>
      <c r="G4" s="7" t="s">
        <v>94</v>
      </c>
      <c r="H4" s="7" t="s">
        <v>97</v>
      </c>
      <c r="I4" s="7" t="s">
        <v>122</v>
      </c>
      <c r="J4" s="7">
        <v>4</v>
      </c>
      <c r="K4" s="7">
        <v>4</v>
      </c>
      <c r="L4" s="7">
        <v>16</v>
      </c>
      <c r="M4" s="7" t="s">
        <v>94</v>
      </c>
      <c r="N4" s="8">
        <f>(L4/25)*O4</f>
        <v>32000</v>
      </c>
      <c r="O4" s="9">
        <v>50000</v>
      </c>
    </row>
    <row r="5" spans="2:15" x14ac:dyDescent="0.15">
      <c r="B5" s="6" t="s">
        <v>16</v>
      </c>
      <c r="C5" s="7" t="s">
        <v>41</v>
      </c>
      <c r="D5" s="7" t="s">
        <v>62</v>
      </c>
      <c r="E5" s="7" t="s">
        <v>87</v>
      </c>
      <c r="F5" s="7" t="s">
        <v>90</v>
      </c>
      <c r="G5" s="7" t="s">
        <v>93</v>
      </c>
      <c r="H5" s="7" t="s">
        <v>98</v>
      </c>
      <c r="I5" s="7" t="s">
        <v>123</v>
      </c>
      <c r="J5" s="7">
        <v>3</v>
      </c>
      <c r="K5" s="7">
        <v>4</v>
      </c>
      <c r="L5" s="7">
        <v>12</v>
      </c>
      <c r="M5" s="7" t="s">
        <v>93</v>
      </c>
      <c r="N5" s="8">
        <f>(L5/25)*O5</f>
        <v>24000</v>
      </c>
      <c r="O5" s="9">
        <v>50000</v>
      </c>
    </row>
    <row r="6" spans="2:15" x14ac:dyDescent="0.15">
      <c r="B6" s="6" t="s">
        <v>17</v>
      </c>
      <c r="C6" s="7" t="s">
        <v>42</v>
      </c>
      <c r="D6" s="7" t="s">
        <v>63</v>
      </c>
      <c r="E6" s="7" t="s">
        <v>85</v>
      </c>
      <c r="F6" s="7" t="s">
        <v>89</v>
      </c>
      <c r="G6" s="7" t="s">
        <v>93</v>
      </c>
      <c r="H6" s="7" t="s">
        <v>99</v>
      </c>
      <c r="I6" s="7" t="s">
        <v>124</v>
      </c>
      <c r="J6" s="7">
        <v>5</v>
      </c>
      <c r="K6" s="7">
        <v>3</v>
      </c>
      <c r="L6" s="7">
        <v>15</v>
      </c>
      <c r="M6" s="7" t="s">
        <v>93</v>
      </c>
      <c r="N6" s="8">
        <f>(L6/25)*O6</f>
        <v>30000</v>
      </c>
      <c r="O6" s="9">
        <v>50000</v>
      </c>
    </row>
    <row r="7" spans="2:15" x14ac:dyDescent="0.15">
      <c r="B7" s="6" t="s">
        <v>18</v>
      </c>
      <c r="C7" s="7" t="s">
        <v>43</v>
      </c>
      <c r="D7" s="7" t="s">
        <v>64</v>
      </c>
      <c r="E7" s="7" t="s">
        <v>88</v>
      </c>
      <c r="F7" s="7" t="s">
        <v>89</v>
      </c>
      <c r="G7" s="7" t="s">
        <v>94</v>
      </c>
      <c r="H7" s="7" t="s">
        <v>100</v>
      </c>
      <c r="I7" s="7" t="s">
        <v>125</v>
      </c>
      <c r="J7" s="7">
        <v>6</v>
      </c>
      <c r="K7" s="7">
        <v>3</v>
      </c>
      <c r="L7" s="7">
        <v>18</v>
      </c>
      <c r="M7" s="7" t="s">
        <v>94</v>
      </c>
      <c r="N7" s="8">
        <f>(L7/25)*O7</f>
        <v>72000</v>
      </c>
      <c r="O7" s="9">
        <v>100000</v>
      </c>
    </row>
    <row r="8" spans="2:15" x14ac:dyDescent="0.15">
      <c r="B8" s="6" t="s">
        <v>19</v>
      </c>
      <c r="C8" s="7" t="s">
        <v>44</v>
      </c>
      <c r="D8" s="7" t="s">
        <v>65</v>
      </c>
      <c r="E8" s="7" t="s">
        <v>85</v>
      </c>
      <c r="F8" s="7" t="s">
        <v>90</v>
      </c>
      <c r="G8" s="7" t="s">
        <v>93</v>
      </c>
      <c r="H8" s="7" t="s">
        <v>101</v>
      </c>
      <c r="I8" s="7" t="s">
        <v>126</v>
      </c>
      <c r="J8" s="7">
        <v>5</v>
      </c>
      <c r="K8" s="7">
        <v>4</v>
      </c>
      <c r="L8" s="7">
        <v>20</v>
      </c>
      <c r="M8" s="7" t="s">
        <v>94</v>
      </c>
      <c r="N8" s="8">
        <f>(L8/25)*O8</f>
        <v>40000</v>
      </c>
      <c r="O8" s="9">
        <v>50000</v>
      </c>
    </row>
    <row r="9" spans="2:15" x14ac:dyDescent="0.15">
      <c r="B9" s="6" t="s">
        <v>20</v>
      </c>
      <c r="C9" s="7" t="s">
        <v>45</v>
      </c>
      <c r="D9" s="7" t="s">
        <v>66</v>
      </c>
      <c r="E9" s="7" t="s">
        <v>86</v>
      </c>
      <c r="F9" s="7" t="s">
        <v>89</v>
      </c>
      <c r="G9" s="7" t="s">
        <v>95</v>
      </c>
      <c r="H9" s="7" t="s">
        <v>102</v>
      </c>
      <c r="I9" s="7" t="s">
        <v>123</v>
      </c>
      <c r="J9" s="7">
        <v>4</v>
      </c>
      <c r="K9" s="7">
        <v>3</v>
      </c>
      <c r="L9" s="7">
        <v>12</v>
      </c>
      <c r="M9" s="7" t="s">
        <v>93</v>
      </c>
      <c r="N9" s="8">
        <f>(L9/25)*O9</f>
        <v>24000</v>
      </c>
      <c r="O9" s="9">
        <v>50000</v>
      </c>
    </row>
    <row r="10" spans="2:15" x14ac:dyDescent="0.15">
      <c r="B10" s="6" t="s">
        <v>21</v>
      </c>
      <c r="C10" s="7" t="s">
        <v>46</v>
      </c>
      <c r="D10" s="7" t="s">
        <v>67</v>
      </c>
      <c r="E10" s="7" t="s">
        <v>85</v>
      </c>
      <c r="F10" s="7" t="s">
        <v>90</v>
      </c>
      <c r="G10" s="7" t="s">
        <v>93</v>
      </c>
      <c r="H10" s="7" t="s">
        <v>103</v>
      </c>
      <c r="I10" s="7" t="s">
        <v>122</v>
      </c>
      <c r="J10" s="7">
        <v>5</v>
      </c>
      <c r="K10" s="7">
        <v>4</v>
      </c>
      <c r="L10" s="7">
        <v>20</v>
      </c>
      <c r="M10" s="7" t="s">
        <v>94</v>
      </c>
      <c r="N10" s="8">
        <f>(L10/25)*O10</f>
        <v>40000</v>
      </c>
      <c r="O10" s="9">
        <v>50000</v>
      </c>
    </row>
    <row r="11" spans="2:15" x14ac:dyDescent="0.15">
      <c r="B11" s="6" t="s">
        <v>22</v>
      </c>
      <c r="C11" s="7" t="s">
        <v>47</v>
      </c>
      <c r="D11" s="7" t="s">
        <v>68</v>
      </c>
      <c r="E11" s="7" t="s">
        <v>87</v>
      </c>
      <c r="F11" s="7" t="s">
        <v>89</v>
      </c>
      <c r="G11" s="7" t="s">
        <v>95</v>
      </c>
      <c r="H11" s="7" t="s">
        <v>104</v>
      </c>
      <c r="I11" s="7" t="s">
        <v>127</v>
      </c>
      <c r="J11" s="7">
        <v>3</v>
      </c>
      <c r="K11" s="7">
        <v>3</v>
      </c>
      <c r="L11" s="7">
        <v>9</v>
      </c>
      <c r="M11" s="7" t="s">
        <v>95</v>
      </c>
      <c r="N11" s="8">
        <f>(L11/25)*O11</f>
        <v>18000</v>
      </c>
      <c r="O11" s="9">
        <v>50000</v>
      </c>
    </row>
    <row r="12" spans="2:15" x14ac:dyDescent="0.15">
      <c r="B12" s="6" t="s">
        <v>23</v>
      </c>
      <c r="C12" s="7" t="s">
        <v>48</v>
      </c>
      <c r="D12" s="7" t="s">
        <v>69</v>
      </c>
      <c r="E12" s="7" t="s">
        <v>86</v>
      </c>
      <c r="F12" s="7" t="s">
        <v>89</v>
      </c>
      <c r="G12" s="7" t="s">
        <v>95</v>
      </c>
      <c r="H12" s="7" t="s">
        <v>105</v>
      </c>
      <c r="I12" s="7" t="s">
        <v>128</v>
      </c>
      <c r="J12" s="7">
        <v>4</v>
      </c>
      <c r="K12" s="7">
        <v>3</v>
      </c>
      <c r="L12" s="7">
        <v>12</v>
      </c>
      <c r="M12" s="7" t="s">
        <v>93</v>
      </c>
      <c r="N12" s="8">
        <f>(L12/25)*O12</f>
        <v>48000</v>
      </c>
      <c r="O12" s="9">
        <v>100000</v>
      </c>
    </row>
    <row r="13" spans="2:15" x14ac:dyDescent="0.15">
      <c r="B13" s="6" t="s">
        <v>24</v>
      </c>
      <c r="C13" s="7" t="s">
        <v>49</v>
      </c>
      <c r="D13" s="7" t="s">
        <v>70</v>
      </c>
      <c r="E13" s="7" t="s">
        <v>87</v>
      </c>
      <c r="F13" s="7" t="s">
        <v>90</v>
      </c>
      <c r="G13" s="7" t="s">
        <v>93</v>
      </c>
      <c r="H13" s="7" t="s">
        <v>106</v>
      </c>
      <c r="I13" s="7" t="s">
        <v>129</v>
      </c>
      <c r="J13" s="7">
        <v>3</v>
      </c>
      <c r="K13" s="7">
        <v>4</v>
      </c>
      <c r="L13" s="7">
        <v>12</v>
      </c>
      <c r="M13" s="7" t="s">
        <v>93</v>
      </c>
      <c r="N13" s="8">
        <f>(L13/25)*O13</f>
        <v>72000</v>
      </c>
      <c r="O13" s="9">
        <v>150000</v>
      </c>
    </row>
    <row r="14" spans="2:15" x14ac:dyDescent="0.15">
      <c r="B14" s="6" t="s">
        <v>25</v>
      </c>
      <c r="C14" s="7" t="s">
        <v>50</v>
      </c>
      <c r="D14" s="7" t="s">
        <v>71</v>
      </c>
      <c r="E14" s="7" t="s">
        <v>88</v>
      </c>
      <c r="F14" s="7" t="s">
        <v>89</v>
      </c>
      <c r="G14" s="7" t="s">
        <v>94</v>
      </c>
      <c r="H14" s="7" t="s">
        <v>107</v>
      </c>
      <c r="I14" s="7" t="s">
        <v>130</v>
      </c>
      <c r="J14" s="7">
        <v>6</v>
      </c>
      <c r="K14" s="7">
        <v>3</v>
      </c>
      <c r="L14" s="7">
        <v>18</v>
      </c>
      <c r="M14" s="7" t="s">
        <v>94</v>
      </c>
      <c r="N14" s="8">
        <f>(L14/25)*O14</f>
        <v>36000</v>
      </c>
      <c r="O14" s="9">
        <v>50000</v>
      </c>
    </row>
    <row r="15" spans="2:15" x14ac:dyDescent="0.15">
      <c r="B15" s="6" t="s">
        <v>26</v>
      </c>
      <c r="C15" s="7" t="s">
        <v>51</v>
      </c>
      <c r="D15" s="7" t="s">
        <v>72</v>
      </c>
      <c r="E15" s="7" t="s">
        <v>85</v>
      </c>
      <c r="F15" s="7" t="s">
        <v>91</v>
      </c>
      <c r="G15" s="7" t="s">
        <v>95</v>
      </c>
      <c r="H15" s="7" t="s">
        <v>108</v>
      </c>
      <c r="I15" s="7" t="s">
        <v>131</v>
      </c>
      <c r="J15" s="7">
        <v>5</v>
      </c>
      <c r="K15" s="7">
        <v>2</v>
      </c>
      <c r="L15" s="7">
        <v>10</v>
      </c>
      <c r="M15" s="7" t="s">
        <v>95</v>
      </c>
      <c r="N15" s="8">
        <f>(L15/25)*O15</f>
        <v>40000</v>
      </c>
      <c r="O15" s="9">
        <v>100000</v>
      </c>
    </row>
    <row r="16" spans="2:15" x14ac:dyDescent="0.15">
      <c r="B16" s="6" t="s">
        <v>27</v>
      </c>
      <c r="C16" s="7" t="s">
        <v>52</v>
      </c>
      <c r="D16" s="7" t="s">
        <v>73</v>
      </c>
      <c r="E16" s="7" t="s">
        <v>86</v>
      </c>
      <c r="F16" s="7" t="s">
        <v>90</v>
      </c>
      <c r="G16" s="7" t="s">
        <v>93</v>
      </c>
      <c r="H16" s="7" t="s">
        <v>109</v>
      </c>
      <c r="I16" s="7" t="s">
        <v>132</v>
      </c>
      <c r="J16" s="7">
        <v>4</v>
      </c>
      <c r="K16" s="7">
        <v>4</v>
      </c>
      <c r="L16" s="7">
        <v>16</v>
      </c>
      <c r="M16" s="7" t="s">
        <v>94</v>
      </c>
      <c r="N16" s="8">
        <f>(L16/25)*O16</f>
        <v>128000</v>
      </c>
      <c r="O16" s="9">
        <v>200000</v>
      </c>
    </row>
    <row r="17" spans="2:15" x14ac:dyDescent="0.15">
      <c r="B17" s="6" t="s">
        <v>28</v>
      </c>
      <c r="C17" s="7" t="s">
        <v>53</v>
      </c>
      <c r="D17" s="7" t="s">
        <v>74</v>
      </c>
      <c r="E17" s="7" t="s">
        <v>87</v>
      </c>
      <c r="F17" s="7" t="s">
        <v>89</v>
      </c>
      <c r="G17" s="7" t="s">
        <v>95</v>
      </c>
      <c r="H17" s="7" t="s">
        <v>110</v>
      </c>
      <c r="I17" s="7" t="s">
        <v>133</v>
      </c>
      <c r="J17" s="7">
        <v>3</v>
      </c>
      <c r="K17" s="7">
        <v>3</v>
      </c>
      <c r="L17" s="7">
        <v>9</v>
      </c>
      <c r="M17" s="7" t="s">
        <v>95</v>
      </c>
      <c r="N17" s="8">
        <f>(L17/25)*O17</f>
        <v>18000</v>
      </c>
      <c r="O17" s="9">
        <v>50000</v>
      </c>
    </row>
    <row r="18" spans="2:15" x14ac:dyDescent="0.15">
      <c r="B18" s="6" t="s">
        <v>29</v>
      </c>
      <c r="C18" s="7" t="s">
        <v>54</v>
      </c>
      <c r="D18" s="7" t="s">
        <v>75</v>
      </c>
      <c r="E18" s="7" t="s">
        <v>86</v>
      </c>
      <c r="F18" s="7" t="s">
        <v>89</v>
      </c>
      <c r="G18" s="7" t="s">
        <v>95</v>
      </c>
      <c r="H18" s="7" t="s">
        <v>111</v>
      </c>
      <c r="I18" s="7" t="s">
        <v>134</v>
      </c>
      <c r="J18" s="7">
        <v>4</v>
      </c>
      <c r="K18" s="7">
        <v>3</v>
      </c>
      <c r="L18" s="7">
        <v>12</v>
      </c>
      <c r="M18" s="7" t="s">
        <v>93</v>
      </c>
      <c r="N18" s="8">
        <f>(L18/25)*O18</f>
        <v>24000</v>
      </c>
      <c r="O18" s="9">
        <v>50000</v>
      </c>
    </row>
    <row r="19" spans="2:15" x14ac:dyDescent="0.15">
      <c r="B19" s="6" t="s">
        <v>30</v>
      </c>
      <c r="C19" s="7" t="s">
        <v>55</v>
      </c>
      <c r="D19" s="7" t="s">
        <v>76</v>
      </c>
      <c r="E19" s="7" t="s">
        <v>87</v>
      </c>
      <c r="F19" s="7" t="s">
        <v>91</v>
      </c>
      <c r="G19" s="7" t="s">
        <v>95</v>
      </c>
      <c r="H19" s="7" t="s">
        <v>112</v>
      </c>
      <c r="I19" s="7" t="s">
        <v>135</v>
      </c>
      <c r="J19" s="7">
        <v>3</v>
      </c>
      <c r="K19" s="7">
        <v>2</v>
      </c>
      <c r="L19" s="7">
        <v>6</v>
      </c>
      <c r="M19" s="7" t="s">
        <v>95</v>
      </c>
      <c r="N19" s="8">
        <f>(L19/25)*O19</f>
        <v>19200</v>
      </c>
      <c r="O19" s="9">
        <v>80000</v>
      </c>
    </row>
    <row r="20" spans="2:15" x14ac:dyDescent="0.15">
      <c r="B20" s="6" t="s">
        <v>31</v>
      </c>
      <c r="C20" s="7" t="s">
        <v>56</v>
      </c>
      <c r="D20" s="7" t="s">
        <v>77</v>
      </c>
      <c r="E20" s="7" t="s">
        <v>85</v>
      </c>
      <c r="F20" s="7" t="s">
        <v>90</v>
      </c>
      <c r="G20" s="7" t="s">
        <v>93</v>
      </c>
      <c r="H20" s="7" t="s">
        <v>113</v>
      </c>
      <c r="I20" s="7" t="s">
        <v>136</v>
      </c>
      <c r="J20" s="7">
        <v>5</v>
      </c>
      <c r="K20" s="7">
        <v>4</v>
      </c>
      <c r="L20" s="7">
        <v>20</v>
      </c>
      <c r="M20" s="7" t="s">
        <v>94</v>
      </c>
      <c r="N20" s="8">
        <f>(L20/25)*O20</f>
        <v>40000</v>
      </c>
      <c r="O20" s="9">
        <v>50000</v>
      </c>
    </row>
    <row r="21" spans="2:15" x14ac:dyDescent="0.15">
      <c r="B21" s="6" t="s">
        <v>32</v>
      </c>
      <c r="C21" s="7" t="s">
        <v>57</v>
      </c>
      <c r="D21" s="7" t="s">
        <v>78</v>
      </c>
      <c r="E21" s="7" t="s">
        <v>88</v>
      </c>
      <c r="F21" s="7" t="s">
        <v>92</v>
      </c>
      <c r="G21" s="7" t="s">
        <v>94</v>
      </c>
      <c r="H21" s="7" t="s">
        <v>114</v>
      </c>
      <c r="I21" s="7" t="s">
        <v>137</v>
      </c>
      <c r="J21" s="7">
        <v>6</v>
      </c>
      <c r="K21" s="7">
        <v>1</v>
      </c>
      <c r="L21" s="7">
        <v>6</v>
      </c>
      <c r="M21" s="7" t="s">
        <v>95</v>
      </c>
      <c r="N21" s="8">
        <f>(L21/25)*O21</f>
        <v>12000</v>
      </c>
      <c r="O21" s="9">
        <v>50000</v>
      </c>
    </row>
    <row r="22" spans="2:15" x14ac:dyDescent="0.15">
      <c r="B22" s="6" t="s">
        <v>33</v>
      </c>
      <c r="C22" s="7" t="s">
        <v>58</v>
      </c>
      <c r="D22" s="7" t="s">
        <v>79</v>
      </c>
      <c r="E22" s="7" t="s">
        <v>85</v>
      </c>
      <c r="F22" s="7" t="s">
        <v>91</v>
      </c>
      <c r="G22" s="7" t="s">
        <v>95</v>
      </c>
      <c r="H22" s="7" t="s">
        <v>115</v>
      </c>
      <c r="I22" s="7" t="s">
        <v>138</v>
      </c>
      <c r="J22" s="7">
        <v>5</v>
      </c>
      <c r="K22" s="7">
        <v>2</v>
      </c>
      <c r="L22" s="7">
        <v>10</v>
      </c>
      <c r="M22" s="7" t="s">
        <v>95</v>
      </c>
      <c r="N22" s="8">
        <f>(L22/25)*O22</f>
        <v>20000</v>
      </c>
      <c r="O22" s="9">
        <v>50000</v>
      </c>
    </row>
    <row r="23" spans="2:15" x14ac:dyDescent="0.15">
      <c r="B23" s="6" t="s">
        <v>34</v>
      </c>
      <c r="C23" s="7" t="s">
        <v>52</v>
      </c>
      <c r="D23" s="7" t="s">
        <v>80</v>
      </c>
      <c r="E23" s="7" t="s">
        <v>85</v>
      </c>
      <c r="F23" s="7" t="s">
        <v>89</v>
      </c>
      <c r="G23" s="7" t="s">
        <v>93</v>
      </c>
      <c r="H23" s="7" t="s">
        <v>116</v>
      </c>
      <c r="I23" s="7" t="s">
        <v>139</v>
      </c>
      <c r="J23" s="7">
        <v>5</v>
      </c>
      <c r="K23" s="7">
        <v>3</v>
      </c>
      <c r="L23" s="7">
        <v>15</v>
      </c>
      <c r="M23" s="7" t="s">
        <v>93</v>
      </c>
      <c r="N23" s="8">
        <f>(L23/25)*O23</f>
        <v>30000</v>
      </c>
      <c r="O23" s="9">
        <v>50000</v>
      </c>
    </row>
    <row r="24" spans="2:15" x14ac:dyDescent="0.15">
      <c r="B24" s="6" t="s">
        <v>35</v>
      </c>
      <c r="C24" s="7" t="s">
        <v>47</v>
      </c>
      <c r="D24" s="7" t="s">
        <v>81</v>
      </c>
      <c r="E24" s="7" t="s">
        <v>85</v>
      </c>
      <c r="F24" s="7" t="s">
        <v>90</v>
      </c>
      <c r="G24" s="7" t="s">
        <v>93</v>
      </c>
      <c r="H24" s="7" t="s">
        <v>117</v>
      </c>
      <c r="I24" s="7" t="s">
        <v>121</v>
      </c>
      <c r="J24" s="7">
        <v>5</v>
      </c>
      <c r="K24" s="7">
        <v>4</v>
      </c>
      <c r="L24" s="7">
        <v>20</v>
      </c>
      <c r="M24" s="7" t="s">
        <v>94</v>
      </c>
      <c r="N24" s="8">
        <f>(L24/25)*O24</f>
        <v>40000</v>
      </c>
      <c r="O24" s="9">
        <v>50000</v>
      </c>
    </row>
    <row r="25" spans="2:15" x14ac:dyDescent="0.15">
      <c r="B25" s="6" t="s">
        <v>36</v>
      </c>
      <c r="C25" s="7" t="s">
        <v>48</v>
      </c>
      <c r="D25" s="7" t="s">
        <v>82</v>
      </c>
      <c r="E25" s="7" t="s">
        <v>86</v>
      </c>
      <c r="F25" s="7" t="s">
        <v>91</v>
      </c>
      <c r="G25" s="7" t="s">
        <v>95</v>
      </c>
      <c r="H25" s="7" t="s">
        <v>118</v>
      </c>
      <c r="I25" s="7" t="s">
        <v>140</v>
      </c>
      <c r="J25" s="7">
        <v>4</v>
      </c>
      <c r="K25" s="7">
        <v>2</v>
      </c>
      <c r="L25" s="7">
        <v>8</v>
      </c>
      <c r="M25" s="7" t="s">
        <v>95</v>
      </c>
      <c r="N25" s="8">
        <f>(L25/25)*O25</f>
        <v>32000</v>
      </c>
      <c r="O25" s="9">
        <v>100000</v>
      </c>
    </row>
    <row r="26" spans="2:15" x14ac:dyDescent="0.15">
      <c r="B26" s="6" t="s">
        <v>37</v>
      </c>
      <c r="C26" s="7" t="s">
        <v>59</v>
      </c>
      <c r="D26" s="7" t="s">
        <v>83</v>
      </c>
      <c r="E26" s="7" t="s">
        <v>86</v>
      </c>
      <c r="F26" s="7" t="s">
        <v>89</v>
      </c>
      <c r="G26" s="7" t="s">
        <v>95</v>
      </c>
      <c r="H26" s="7" t="s">
        <v>119</v>
      </c>
      <c r="I26" s="7" t="s">
        <v>141</v>
      </c>
      <c r="J26" s="7">
        <v>4</v>
      </c>
      <c r="K26" s="7">
        <v>3</v>
      </c>
      <c r="L26" s="7">
        <v>12</v>
      </c>
      <c r="M26" s="7" t="s">
        <v>93</v>
      </c>
      <c r="N26" s="8">
        <f>(L26/25)*O26</f>
        <v>24000</v>
      </c>
      <c r="O26" s="9">
        <v>50000</v>
      </c>
    </row>
    <row r="27" spans="2:15" x14ac:dyDescent="0.15">
      <c r="B27" s="10" t="s">
        <v>38</v>
      </c>
      <c r="C27" s="11" t="s">
        <v>60</v>
      </c>
      <c r="D27" s="11" t="s">
        <v>84</v>
      </c>
      <c r="E27" s="11" t="s">
        <v>85</v>
      </c>
      <c r="F27" s="11" t="s">
        <v>89</v>
      </c>
      <c r="G27" s="11" t="s">
        <v>93</v>
      </c>
      <c r="H27" s="11" t="s">
        <v>120</v>
      </c>
      <c r="I27" s="11" t="s">
        <v>142</v>
      </c>
      <c r="J27" s="11">
        <v>5</v>
      </c>
      <c r="K27" s="11">
        <v>3</v>
      </c>
      <c r="L27" s="11">
        <v>15</v>
      </c>
      <c r="M27" s="11" t="s">
        <v>93</v>
      </c>
      <c r="N27" s="12">
        <f>(L27/25)*O27</f>
        <v>30000</v>
      </c>
      <c r="O27" s="13">
        <v>50000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Nicholas Wilson</cp:lastModifiedBy>
  <dcterms:created xsi:type="dcterms:W3CDTF">2025-05-13T10:17:16Z</dcterms:created>
  <dcterms:modified xsi:type="dcterms:W3CDTF">2025-05-13T12:08:53Z</dcterms:modified>
</cp:coreProperties>
</file>